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cenarios" sheetId="2" state="visible" r:id="rId2"/>
    <sheet name="UnitEconom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TAM (total drivers)</t>
        </is>
      </c>
      <c r="B2" t="n">
        <v>5000000</v>
      </c>
      <c r="C2" t="inlineStr">
        <is>
          <t>Total addressable market (US)</t>
        </is>
      </c>
    </row>
    <row r="3">
      <c r="A3" t="inlineStr">
        <is>
          <t>Default SOM %</t>
        </is>
      </c>
      <c r="B3" t="n">
        <v>0.05</v>
      </c>
      <c r="C3" t="inlineStr">
        <is>
          <t>Serviceable obtainable market %</t>
        </is>
      </c>
    </row>
    <row r="4">
      <c r="A4" t="inlineStr">
        <is>
          <t>price_standard (USD/yr)</t>
        </is>
      </c>
      <c r="B4" t="n">
        <v>59</v>
      </c>
      <c r="C4" t="inlineStr">
        <is>
          <t>Standard annual price</t>
        </is>
      </c>
    </row>
    <row r="5">
      <c r="A5" t="inlineStr">
        <is>
          <t>price_pro (USD/yr)</t>
        </is>
      </c>
      <c r="B5" t="n">
        <v>119</v>
      </c>
      <c r="C5" t="inlineStr">
        <is>
          <t>Pro annual price</t>
        </is>
      </c>
    </row>
    <row r="6">
      <c r="A6" t="inlineStr">
        <is>
          <t>default_pro_pct</t>
        </is>
      </c>
      <c r="B6" t="n">
        <v>0.7</v>
      </c>
      <c r="C6" t="inlineStr">
        <is>
          <t>Default percent of paid users on Pro</t>
        </is>
      </c>
    </row>
    <row r="7">
      <c r="A7" t="inlineStr">
        <is>
          <t>CAC (USD)</t>
        </is>
      </c>
      <c r="B7" t="n">
        <v>50</v>
      </c>
      <c r="C7" t="inlineStr">
        <is>
          <t>Cost to acquire a paid user</t>
        </is>
      </c>
    </row>
    <row r="8">
      <c r="A8" t="inlineStr">
        <is>
          <t>Gross Margin</t>
        </is>
      </c>
      <c r="B8" t="n">
        <v>0.8</v>
      </c>
      <c r="C8" t="inlineStr">
        <is>
          <t>Gross margin on subscription revenue</t>
        </is>
      </c>
    </row>
    <row r="9">
      <c r="A9" t="inlineStr">
        <is>
          <t>Lifetime (years)</t>
        </is>
      </c>
      <c r="B9" t="n">
        <v>2</v>
      </c>
      <c r="C9" t="inlineStr">
        <is>
          <t>Average paid user lifetime (years)</t>
        </is>
      </c>
    </row>
    <row r="10">
      <c r="A10" t="inlineStr">
        <is>
          <t>DEV_ONE_OFF (USD)</t>
        </is>
      </c>
      <c r="B10" t="n">
        <v>333000</v>
      </c>
      <c r="C10" t="inlineStr">
        <is>
          <t>One-time development cost (Year 1)</t>
        </is>
      </c>
    </row>
    <row r="11">
      <c r="A11" t="inlineStr">
        <is>
          <t>OPS_ANNUAL (USD)</t>
        </is>
      </c>
      <c r="B11" t="n">
        <v>250000</v>
      </c>
      <c r="C11" t="inlineStr">
        <is>
          <t>Annual operating 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Scenario</t>
        </is>
      </c>
      <c r="B1" s="1" t="inlineStr">
        <is>
          <t>SOM_pct</t>
        </is>
      </c>
      <c r="C1" s="1" t="inlineStr">
        <is>
          <t>Conv_rate</t>
        </is>
      </c>
      <c r="D1" s="1" t="inlineStr">
        <is>
          <t>ActiveUsers</t>
        </is>
      </c>
      <c r="E1" s="1" t="inlineStr">
        <is>
          <t>PayingUsers</t>
        </is>
      </c>
      <c r="F1" s="1" t="inlineStr">
        <is>
          <t>Pro_pct</t>
        </is>
      </c>
      <c r="G1" s="1" t="inlineStr">
        <is>
          <t>ARPU</t>
        </is>
      </c>
      <c r="H1" s="1" t="inlineStr">
        <is>
          <t>Revenue</t>
        </is>
      </c>
      <c r="I1" s="1" t="inlineStr">
        <is>
          <t>CAC</t>
        </is>
      </c>
      <c r="J1" s="1" t="inlineStr">
        <is>
          <t>AcquisitionCost</t>
        </is>
      </c>
      <c r="K1" s="1" t="inlineStr">
        <is>
          <t>GrossProfit</t>
        </is>
      </c>
      <c r="L1" s="1" t="inlineStr">
        <is>
          <t>NetProfit</t>
        </is>
      </c>
      <c r="M1" s="1" t="inlineStr">
        <is>
          <t>LTV</t>
        </is>
      </c>
      <c r="N1" s="1" t="inlineStr">
        <is>
          <t>LTV/CAC</t>
        </is>
      </c>
    </row>
    <row r="2">
      <c r="A2" t="inlineStr">
        <is>
          <t>Conservative</t>
        </is>
      </c>
      <c r="B2" t="n">
        <v>0.02</v>
      </c>
      <c r="C2" t="n">
        <v>0.03</v>
      </c>
      <c r="D2">
        <f>Assumptions!$B$2 * B2</f>
        <v/>
      </c>
      <c r="E2">
        <f>D2 * C2</f>
        <v/>
      </c>
      <c r="F2" t="n">
        <v>0.7</v>
      </c>
      <c r="G2">
        <f>Assumptions!$B$3*(1-F2) + Assumptions!$B$4*F2</f>
        <v/>
      </c>
      <c r="H2">
        <f>E2 * G2</f>
        <v/>
      </c>
      <c r="I2">
        <f>Assumptions!$B$6</f>
        <v/>
      </c>
      <c r="J2">
        <f>E2 * I2</f>
        <v/>
      </c>
      <c r="K2">
        <f>H2 * Assumptions!$B$7</f>
        <v/>
      </c>
      <c r="L2">
        <f>K2 - J2 - Assumptions!$B$10 - Assumptions!$B$9</f>
        <v/>
      </c>
      <c r="M2">
        <f>G2 * Assumptions!$B$7 * Assumptions!$B$8</f>
        <v/>
      </c>
      <c r="N2">
        <f>M2 / I2</f>
        <v/>
      </c>
    </row>
    <row r="3">
      <c r="A3" t="inlineStr">
        <is>
          <t>Base</t>
        </is>
      </c>
      <c r="B3" t="n">
        <v>0.05</v>
      </c>
      <c r="C3" t="n">
        <v>0.05</v>
      </c>
      <c r="D3">
        <f>Assumptions!$B$2 * B3</f>
        <v/>
      </c>
      <c r="E3">
        <f>D3 * C3</f>
        <v/>
      </c>
      <c r="F3" t="n">
        <v>0.7</v>
      </c>
      <c r="G3">
        <f>Assumptions!$B$3*(1-F3) + Assumptions!$B$4*F3</f>
        <v/>
      </c>
      <c r="H3">
        <f>E3 * G3</f>
        <v/>
      </c>
      <c r="I3">
        <f>Assumptions!$B$6</f>
        <v/>
      </c>
      <c r="J3">
        <f>E3 * I3</f>
        <v/>
      </c>
      <c r="K3">
        <f>H3 * Assumptions!$B$7</f>
        <v/>
      </c>
      <c r="L3">
        <f>K3 - J3 - Assumptions!$B$10 - Assumptions!$B$9</f>
        <v/>
      </c>
      <c r="M3">
        <f>G3 * Assumptions!$B$7 * Assumptions!$B$8</f>
        <v/>
      </c>
      <c r="N3">
        <f>M3 / I3</f>
        <v/>
      </c>
    </row>
    <row r="4">
      <c r="A4" t="inlineStr">
        <is>
          <t>Optimistic</t>
        </is>
      </c>
      <c r="B4" t="n">
        <v>0.1</v>
      </c>
      <c r="C4" t="n">
        <v>0.08</v>
      </c>
      <c r="D4">
        <f>Assumptions!$B$2 * B4</f>
        <v/>
      </c>
      <c r="E4">
        <f>D4 * C4</f>
        <v/>
      </c>
      <c r="F4" t="n">
        <v>0.7</v>
      </c>
      <c r="G4">
        <f>Assumptions!$B$3*(1-F4) + Assumptions!$B$4*F4</f>
        <v/>
      </c>
      <c r="H4">
        <f>E4 * G4</f>
        <v/>
      </c>
      <c r="I4">
        <f>Assumptions!$B$6</f>
        <v/>
      </c>
      <c r="J4">
        <f>E4 * I4</f>
        <v/>
      </c>
      <c r="K4">
        <f>H4 * Assumptions!$B$7</f>
        <v/>
      </c>
      <c r="L4">
        <f>K4 - J4 - Assumptions!$B$10 - Assumptions!$B$9</f>
        <v/>
      </c>
      <c r="M4">
        <f>G4 * Assumptions!$B$7 * Assumptions!$B$8</f>
        <v/>
      </c>
      <c r="N4">
        <f>M4 / I4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" t="inlineStr">
        <is>
          <t>Metric</t>
        </is>
      </c>
      <c r="B1" s="1" t="inlineStr">
        <is>
          <t>Formula / Value</t>
        </is>
      </c>
    </row>
    <row r="2">
      <c r="A2" t="inlineStr">
        <is>
          <t>ARPU example (mix 30% standard,70% pro)</t>
        </is>
      </c>
      <c r="B2">
        <f>0.3*Assumptions!$B$3 + 0.7*Assumptions!$B$4</f>
        <v/>
      </c>
    </row>
    <row r="3">
      <c r="A3" t="inlineStr">
        <is>
          <t>LTV example</t>
        </is>
      </c>
      <c r="B3">
        <f>B2 * Assumptions!$B$7 * Assumptions!$B$8</f>
        <v/>
      </c>
    </row>
    <row r="4">
      <c r="A4" t="inlineStr">
        <is>
          <t>CAC (assumption)</t>
        </is>
      </c>
      <c r="B4">
        <f>Assumptions!$B$6</f>
        <v/>
      </c>
    </row>
    <row r="5">
      <c r="A5" t="inlineStr">
        <is>
          <t>LTV/CAC (example)</t>
        </is>
      </c>
      <c r="B5">
        <f>B3 / B4</f>
        <v/>
      </c>
    </row>
    <row r="6">
      <c r="A6" t="inlineStr">
        <is>
          <t>CAC Payback (months) example</t>
        </is>
      </c>
      <c r="B6">
        <f>Assumptions!$B$6 / ((0.3*Assumptions!$B$3 + 0.7*Assumptions!$B$4)/12)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2025-11-17T08:54:33Z</dcterms:created>
  <dcterms:modified xsi:type="dcterms:W3CDTF">2025-11-17T08:54:33Z</dcterms:modified>
</cp:coreProperties>
</file>