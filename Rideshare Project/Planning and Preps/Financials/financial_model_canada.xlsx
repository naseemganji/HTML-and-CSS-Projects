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see\Web and Software Development Course\"/>
    </mc:Choice>
  </mc:AlternateContent>
  <xr:revisionPtr revIDLastSave="0" documentId="13_ncr:1_{516C9F9C-2CEE-4CE5-B3A9-B176AD92A0E7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Assumptions" sheetId="1" r:id="rId1"/>
    <sheet name="Scenarios" sheetId="2" r:id="rId2"/>
    <sheet name="UnitEconomics" sheetId="3" r:id="rId3"/>
    <sheet name="Costs" sheetId="4" r:id="rId4"/>
    <sheet name="Scenarios_Numeric" sheetId="5" r:id="rId5"/>
    <sheet name="Projection_3y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B6" i="3"/>
  <c r="B4" i="3"/>
  <c r="B2" i="3"/>
  <c r="B3" i="3" s="1"/>
  <c r="B5" i="3" s="1"/>
  <c r="M4" i="2"/>
  <c r="N4" i="2" s="1"/>
  <c r="I4" i="2"/>
  <c r="G4" i="2"/>
  <c r="D4" i="2"/>
  <c r="E4" i="2" s="1"/>
  <c r="I3" i="2"/>
  <c r="G3" i="2"/>
  <c r="M3" i="2" s="1"/>
  <c r="N3" i="2" s="1"/>
  <c r="D3" i="2"/>
  <c r="E3" i="2" s="1"/>
  <c r="I2" i="2"/>
  <c r="G2" i="2"/>
  <c r="M2" i="2" s="1"/>
  <c r="N2" i="2" s="1"/>
  <c r="D2" i="2"/>
  <c r="E2" i="2" s="1"/>
  <c r="J2" i="2" l="1"/>
  <c r="H2" i="2"/>
  <c r="K2" i="2" s="1"/>
  <c r="L2" i="2" s="1"/>
  <c r="J4" i="2"/>
  <c r="H4" i="2"/>
  <c r="K4" i="2" s="1"/>
  <c r="L4" i="2" s="1"/>
  <c r="H3" i="2"/>
  <c r="K3" i="2" s="1"/>
  <c r="J3" i="2"/>
  <c r="L3" i="2" l="1"/>
</calcChain>
</file>

<file path=xl/sharedStrings.xml><?xml version="1.0" encoding="utf-8"?>
<sst xmlns="http://schemas.openxmlformats.org/spreadsheetml/2006/main" count="137" uniqueCount="102">
  <si>
    <t>Key</t>
  </si>
  <si>
    <t>Value</t>
  </si>
  <si>
    <t>Notes</t>
  </si>
  <si>
    <t>Country</t>
  </si>
  <si>
    <t>Canada</t>
  </si>
  <si>
    <t>Target market / country</t>
  </si>
  <si>
    <t>Currency</t>
  </si>
  <si>
    <t>CAD</t>
  </si>
  <si>
    <t>Currency for all values in this sheet</t>
  </si>
  <si>
    <t>TAM (total drivers)</t>
  </si>
  <si>
    <t>Estimated total addressable market (Canada - gig/active drivers)</t>
  </si>
  <si>
    <t>Default SOM %</t>
  </si>
  <si>
    <t>Serviceable obtainable market %</t>
  </si>
  <si>
    <t>price_standard (CAD/yr)</t>
  </si>
  <si>
    <t>Standard annual price (CAD)</t>
  </si>
  <si>
    <t>price_pro (CAD/yr)</t>
  </si>
  <si>
    <t>Pro annual price (CAD)</t>
  </si>
  <si>
    <t>default_pro_pct</t>
  </si>
  <si>
    <t>Default percent of paid users on Pro</t>
  </si>
  <si>
    <t>CAC (CAD)</t>
  </si>
  <si>
    <t>Cost to acquire a paid user (CAD)</t>
  </si>
  <si>
    <t>Gross Margin</t>
  </si>
  <si>
    <t>Gross margin on subscription revenue</t>
  </si>
  <si>
    <t>Lifetime (years)</t>
  </si>
  <si>
    <t>Average paid user lifetime (years)</t>
  </si>
  <si>
    <t>growth_conservative</t>
  </si>
  <si>
    <t>Annual growth rate for paying users (conservative)</t>
  </si>
  <si>
    <t>growth_base</t>
  </si>
  <si>
    <t>Annual growth rate for paying users (base)</t>
  </si>
  <si>
    <t>growth_optimistic</t>
  </si>
  <si>
    <t>Annual growth rate for paying users (optimistic)</t>
  </si>
  <si>
    <t>annual_cost_growth</t>
  </si>
  <si>
    <t>Annual growth rate for operating costs</t>
  </si>
  <si>
    <t>DEV_ONE_OFF (CAD)</t>
  </si>
  <si>
    <t>One-time development cost (Year 1, CAD)</t>
  </si>
  <si>
    <t>OPS_ANNUAL (CAD)</t>
  </si>
  <si>
    <t>Annual operating cost (CAD)</t>
  </si>
  <si>
    <t>Scenario</t>
  </si>
  <si>
    <t>SOM_pct</t>
  </si>
  <si>
    <t>Conv_rate</t>
  </si>
  <si>
    <t>ActiveUsers</t>
  </si>
  <si>
    <t>PayingUsers</t>
  </si>
  <si>
    <t>Pro_pct</t>
  </si>
  <si>
    <t>ARPU</t>
  </si>
  <si>
    <t>Revenue</t>
  </si>
  <si>
    <t>CAC</t>
  </si>
  <si>
    <t>AcquisitionCost</t>
  </si>
  <si>
    <t>GrossProfit</t>
  </si>
  <si>
    <t>NetProfit</t>
  </si>
  <si>
    <t>LTV</t>
  </si>
  <si>
    <t>LTV/CAC</t>
  </si>
  <si>
    <t>Conservative</t>
  </si>
  <si>
    <t>Base</t>
  </si>
  <si>
    <t>Optimistic</t>
  </si>
  <si>
    <t>Metric</t>
  </si>
  <si>
    <t>Formula / Value</t>
  </si>
  <si>
    <t>ARPU example (mix 30% standard,70% pro)</t>
  </si>
  <si>
    <t>LTV example</t>
  </si>
  <si>
    <t>CAC (assumption)</t>
  </si>
  <si>
    <t>LTV/CAC (example)</t>
  </si>
  <si>
    <t>CAC Payback (months) example</t>
  </si>
  <si>
    <t>Cost Category</t>
  </si>
  <si>
    <t>Line Item</t>
  </si>
  <si>
    <t>Annual (CAD)</t>
  </si>
  <si>
    <t>Development</t>
  </si>
  <si>
    <t>Frontend devs (salaries/contract)</t>
  </si>
  <si>
    <t>Year 1 estimate, CAD</t>
  </si>
  <si>
    <t>Backend devs &amp; API</t>
  </si>
  <si>
    <t>QA / Testing</t>
  </si>
  <si>
    <t>DevOps / Infra setup</t>
  </si>
  <si>
    <t>One-time infra setup, CAD</t>
  </si>
  <si>
    <t>Infrastructure</t>
  </si>
  <si>
    <t>Hosting (annual)</t>
  </si>
  <si>
    <t>Cloud hosting, scaling</t>
  </si>
  <si>
    <t>CDN / Maps / APIs</t>
  </si>
  <si>
    <t>Third-party API costs (maps, data)</t>
  </si>
  <si>
    <t>Marketing</t>
  </si>
  <si>
    <t>Paid Ads &amp; UA</t>
  </si>
  <si>
    <t>Annual marketing budget, CAD</t>
  </si>
  <si>
    <t>Content &amp; SEO</t>
  </si>
  <si>
    <t>Ongoing content, CAD</t>
  </si>
  <si>
    <t>Sales</t>
  </si>
  <si>
    <t>Promotions / Discounts</t>
  </si>
  <si>
    <t>Promotional credits, CAD</t>
  </si>
  <si>
    <t>Support</t>
  </si>
  <si>
    <t>Customer support (annual)</t>
  </si>
  <si>
    <t>Support staff, CAD</t>
  </si>
  <si>
    <t>Legal &amp; Finance</t>
  </si>
  <si>
    <t>Legal / Compliance</t>
  </si>
  <si>
    <t>Legal fees, CAD</t>
  </si>
  <si>
    <t>Payment processing fees</t>
  </si>
  <si>
    <t>Estimated fees on revenue</t>
  </si>
  <si>
    <t>Other</t>
  </si>
  <si>
    <t>Office / Tools / Misc</t>
  </si>
  <si>
    <t>Accounting, tools, subscriptions</t>
  </si>
  <si>
    <t>One-time</t>
  </si>
  <si>
    <t>MVP design &amp; research</t>
  </si>
  <si>
    <t>One-time UX / research costs</t>
  </si>
  <si>
    <t>Total Annual Costs</t>
  </si>
  <si>
    <t>Sum of annual cost lines (excl one-time)</t>
  </si>
  <si>
    <t>Year</t>
  </si>
  <si>
    <t>TotalCosts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</si>
</sst>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3" fontId="0" fillId="0" borderId="0" xfId="1" applyFont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Revenue (3-Year) by Scenario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053703703703703"/>
          <c:y val="5.174074074074074E-2"/>
          <c:w val="0.86359259259259258"/>
          <c:h val="0.89651851851851849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Projection_3yr!$B$2:$B$4</c:f>
              <c:numCache>
                <c:formatCode>_(* #,##0.00_);_(* \(#,##0.00\);_(* "-"??_);_(@_)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Projection_3yr!$D$2:$D$4</c:f>
              <c:numCache>
                <c:formatCode>_(* #,##0.00_);_(* \(#,##0.00\);_(* "-"??_);_(@_)</c:formatCode>
                <c:ptCount val="3"/>
                <c:pt idx="0">
                  <c:v>30720</c:v>
                </c:pt>
                <c:pt idx="1">
                  <c:v>33792</c:v>
                </c:pt>
                <c:pt idx="2">
                  <c:v>37120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07-44E5-8D5B-D15174617A10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numRef>
              <c:f>Projection_3yr!$B$2:$B$4</c:f>
              <c:numCache>
                <c:formatCode>_(* #,##0.00_);_(* \(#,##0.00\);_(* "-"??_);_(@_)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Projection_3yr!$D$5:$D$7</c:f>
              <c:numCache>
                <c:formatCode>_(* #,##0.00_);_(* \(#,##0.00\);_(* "-"??_);_(@_)</c:formatCode>
                <c:ptCount val="3"/>
                <c:pt idx="0">
                  <c:v>128000</c:v>
                </c:pt>
                <c:pt idx="1">
                  <c:v>166400</c:v>
                </c:pt>
                <c:pt idx="2">
                  <c:v>216320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07-44E5-8D5B-D15174617A10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numRef>
              <c:f>Projection_3yr!$B$2:$B$4</c:f>
              <c:numCache>
                <c:formatCode>_(* #,##0.00_);_(* \(#,##0.00\);_(* "-"??_);_(@_)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Projection_3yr!$D$8:$D$10</c:f>
              <c:numCache>
                <c:formatCode>_(* #,##0.00_);_(* \(#,##0.00\);_(* "-"??_);_(@_)</c:formatCode>
                <c:ptCount val="3"/>
                <c:pt idx="0">
                  <c:v>409600</c:v>
                </c:pt>
                <c:pt idx="1">
                  <c:v>655360</c:v>
                </c:pt>
                <c:pt idx="2">
                  <c:v>1048576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C07-44E5-8D5B-D15174617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Year</a:t>
                </a:r>
              </a:p>
            </c:rich>
          </c:tx>
          <c:overlay val="1"/>
        </c:title>
        <c:numFmt formatCode="_(* #,##0.00_);_(* \(#,##0.00\);_(* &quot;-&quot;??_);_(@_)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C7" sqref="C7"/>
    </sheetView>
  </sheetViews>
  <sheetFormatPr defaultRowHeight="15" x14ac:dyDescent="0.25"/>
  <cols>
    <col min="1" max="3" width="2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s="2">
        <v>400000</v>
      </c>
      <c r="C4" t="s">
        <v>10</v>
      </c>
    </row>
    <row r="5" spans="1:3" x14ac:dyDescent="0.25">
      <c r="A5" t="s">
        <v>11</v>
      </c>
      <c r="B5">
        <v>0.05</v>
      </c>
      <c r="C5" t="s">
        <v>12</v>
      </c>
    </row>
    <row r="6" spans="1:3" x14ac:dyDescent="0.25">
      <c r="A6" t="s">
        <v>13</v>
      </c>
      <c r="B6">
        <v>79</v>
      </c>
      <c r="C6" t="s">
        <v>14</v>
      </c>
    </row>
    <row r="7" spans="1:3" x14ac:dyDescent="0.25">
      <c r="A7" t="s">
        <v>15</v>
      </c>
      <c r="B7">
        <v>149</v>
      </c>
      <c r="C7" t="s">
        <v>16</v>
      </c>
    </row>
    <row r="8" spans="1:3" x14ac:dyDescent="0.25">
      <c r="A8" t="s">
        <v>17</v>
      </c>
      <c r="B8">
        <v>0.7</v>
      </c>
      <c r="C8" t="s">
        <v>18</v>
      </c>
    </row>
    <row r="9" spans="1:3" x14ac:dyDescent="0.25">
      <c r="A9" t="s">
        <v>19</v>
      </c>
      <c r="B9">
        <v>70</v>
      </c>
      <c r="C9" t="s">
        <v>20</v>
      </c>
    </row>
    <row r="10" spans="1:3" x14ac:dyDescent="0.25">
      <c r="A10" t="s">
        <v>21</v>
      </c>
      <c r="B10">
        <v>0.8</v>
      </c>
      <c r="C10" t="s">
        <v>22</v>
      </c>
    </row>
    <row r="11" spans="1:3" x14ac:dyDescent="0.25">
      <c r="A11" t="s">
        <v>23</v>
      </c>
      <c r="B11">
        <v>2</v>
      </c>
      <c r="C11" t="s">
        <v>24</v>
      </c>
    </row>
    <row r="12" spans="1:3" x14ac:dyDescent="0.25">
      <c r="A12" t="s">
        <v>25</v>
      </c>
      <c r="B12">
        <v>0.1</v>
      </c>
      <c r="C12" t="s">
        <v>26</v>
      </c>
    </row>
    <row r="13" spans="1:3" x14ac:dyDescent="0.25">
      <c r="A13" t="s">
        <v>27</v>
      </c>
      <c r="B13">
        <v>0.3</v>
      </c>
      <c r="C13" t="s">
        <v>28</v>
      </c>
    </row>
    <row r="14" spans="1:3" x14ac:dyDescent="0.25">
      <c r="A14" t="s">
        <v>29</v>
      </c>
      <c r="B14">
        <v>0.6</v>
      </c>
      <c r="C14" t="s">
        <v>30</v>
      </c>
    </row>
    <row r="15" spans="1:3" x14ac:dyDescent="0.25">
      <c r="A15" t="s">
        <v>31</v>
      </c>
      <c r="B15">
        <v>0.03</v>
      </c>
      <c r="C15" t="s">
        <v>32</v>
      </c>
    </row>
    <row r="16" spans="1:3" x14ac:dyDescent="0.25">
      <c r="A16" t="s">
        <v>33</v>
      </c>
      <c r="B16">
        <v>450000</v>
      </c>
      <c r="C16" t="s">
        <v>34</v>
      </c>
    </row>
    <row r="17" spans="1:3" x14ac:dyDescent="0.25">
      <c r="A17" t="s">
        <v>35</v>
      </c>
      <c r="B17">
        <v>300000</v>
      </c>
      <c r="C1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defaultRowHeight="15" x14ac:dyDescent="0.25"/>
  <cols>
    <col min="1" max="14" width="15" customWidth="1"/>
  </cols>
  <sheetData>
    <row r="1" spans="1:14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 x14ac:dyDescent="0.25">
      <c r="A2" t="s">
        <v>51</v>
      </c>
      <c r="B2">
        <v>0.02</v>
      </c>
      <c r="C2">
        <v>0.03</v>
      </c>
      <c r="D2" t="e">
        <f>Assumptions!$B$2 * B2</f>
        <v>#VALUE!</v>
      </c>
      <c r="E2" t="e">
        <f>D2 * C2</f>
        <v>#VALUE!</v>
      </c>
      <c r="F2">
        <v>0.7</v>
      </c>
      <c r="G2" t="e">
        <f>Assumptions!$B$3*(1-F2) + Assumptions!$B$4*F2</f>
        <v>#VALUE!</v>
      </c>
      <c r="H2" t="e">
        <f>E2 * G2</f>
        <v>#VALUE!</v>
      </c>
      <c r="I2">
        <f>Assumptions!$B$6</f>
        <v>79</v>
      </c>
      <c r="J2" t="e">
        <f>E2 * I2</f>
        <v>#VALUE!</v>
      </c>
      <c r="K2" t="e">
        <f>H2 * Assumptions!$B$7</f>
        <v>#VALUE!</v>
      </c>
      <c r="L2" t="e">
        <f>K2 - J2 - Assumptions!$B$10 - Assumptions!$B$9</f>
        <v>#VALUE!</v>
      </c>
      <c r="M2" t="e">
        <f>G2 * Assumptions!$B$7 * Assumptions!$B$8</f>
        <v>#VALUE!</v>
      </c>
      <c r="N2" t="e">
        <f>M2 / I2</f>
        <v>#VALUE!</v>
      </c>
    </row>
    <row r="3" spans="1:14" x14ac:dyDescent="0.25">
      <c r="A3" t="s">
        <v>52</v>
      </c>
      <c r="B3">
        <v>0.05</v>
      </c>
      <c r="C3">
        <v>0.05</v>
      </c>
      <c r="D3" t="e">
        <f>Assumptions!$B$2 * B3</f>
        <v>#VALUE!</v>
      </c>
      <c r="E3" t="e">
        <f>D3 * C3</f>
        <v>#VALUE!</v>
      </c>
      <c r="F3">
        <v>0.7</v>
      </c>
      <c r="G3" t="e">
        <f>Assumptions!$B$3*(1-F3) + Assumptions!$B$4*F3</f>
        <v>#VALUE!</v>
      </c>
      <c r="H3" t="e">
        <f>E3 * G3</f>
        <v>#VALUE!</v>
      </c>
      <c r="I3">
        <f>Assumptions!$B$6</f>
        <v>79</v>
      </c>
      <c r="J3" t="e">
        <f>E3 * I3</f>
        <v>#VALUE!</v>
      </c>
      <c r="K3" t="e">
        <f>H3 * Assumptions!$B$7</f>
        <v>#VALUE!</v>
      </c>
      <c r="L3" t="e">
        <f>K3 - J3 - Assumptions!$B$10 - Assumptions!$B$9</f>
        <v>#VALUE!</v>
      </c>
      <c r="M3" t="e">
        <f>G3 * Assumptions!$B$7 * Assumptions!$B$8</f>
        <v>#VALUE!</v>
      </c>
      <c r="N3" t="e">
        <f>M3 / I3</f>
        <v>#VALUE!</v>
      </c>
    </row>
    <row r="4" spans="1:14" x14ac:dyDescent="0.25">
      <c r="A4" t="s">
        <v>53</v>
      </c>
      <c r="B4">
        <v>0.1</v>
      </c>
      <c r="C4">
        <v>0.08</v>
      </c>
      <c r="D4" t="e">
        <f>Assumptions!$B$2 * B4</f>
        <v>#VALUE!</v>
      </c>
      <c r="E4" t="e">
        <f>D4 * C4</f>
        <v>#VALUE!</v>
      </c>
      <c r="F4">
        <v>0.7</v>
      </c>
      <c r="G4" t="e">
        <f>Assumptions!$B$3*(1-F4) + Assumptions!$B$4*F4</f>
        <v>#VALUE!</v>
      </c>
      <c r="H4" t="e">
        <f>E4 * G4</f>
        <v>#VALUE!</v>
      </c>
      <c r="I4">
        <f>Assumptions!$B$6</f>
        <v>79</v>
      </c>
      <c r="J4" t="e">
        <f>E4 * I4</f>
        <v>#VALUE!</v>
      </c>
      <c r="K4" t="e">
        <f>H4 * Assumptions!$B$7</f>
        <v>#VALUE!</v>
      </c>
      <c r="L4" t="e">
        <f>K4 - J4 - Assumptions!$B$10 - Assumptions!$B$9</f>
        <v>#VALUE!</v>
      </c>
      <c r="M4" t="e">
        <f>G4 * Assumptions!$B$7 * Assumptions!$B$8</f>
        <v>#VALUE!</v>
      </c>
      <c r="N4" t="e">
        <f>M4 / I4</f>
        <v>#VALUE!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cols>
    <col min="1" max="2" width="48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t="s">
        <v>56</v>
      </c>
      <c r="B2" t="e">
        <f>0.3*Assumptions!$B$3 + 0.7*Assumptions!$B$4</f>
        <v>#VALUE!</v>
      </c>
    </row>
    <row r="3" spans="1:2" x14ac:dyDescent="0.25">
      <c r="A3" t="s">
        <v>57</v>
      </c>
      <c r="B3" t="e">
        <f>B2 * Assumptions!$B$7 * Assumptions!$B$8</f>
        <v>#VALUE!</v>
      </c>
    </row>
    <row r="4" spans="1:2" x14ac:dyDescent="0.25">
      <c r="A4" t="s">
        <v>58</v>
      </c>
      <c r="B4">
        <f>Assumptions!$B$6</f>
        <v>79</v>
      </c>
    </row>
    <row r="5" spans="1:2" x14ac:dyDescent="0.25">
      <c r="A5" t="s">
        <v>59</v>
      </c>
      <c r="B5" t="e">
        <f>B3 / B4</f>
        <v>#VALUE!</v>
      </c>
    </row>
    <row r="6" spans="1:2" x14ac:dyDescent="0.25">
      <c r="A6" t="s">
        <v>60</v>
      </c>
      <c r="B6" t="e">
        <f>Assumptions!$B$6 / ((0.3*Assumptions!$B$3 + 0.7*Assumptions!$B$4)/12)</f>
        <v>#VALUE!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C16" sqref="C16"/>
    </sheetView>
  </sheetViews>
  <sheetFormatPr defaultRowHeight="15" x14ac:dyDescent="0.25"/>
  <cols>
    <col min="1" max="1" width="24" customWidth="1"/>
    <col min="2" max="2" width="36" customWidth="1"/>
    <col min="3" max="3" width="18" style="2" customWidth="1"/>
    <col min="4" max="4" width="40" customWidth="1"/>
  </cols>
  <sheetData>
    <row r="1" spans="1:4" x14ac:dyDescent="0.25">
      <c r="A1" s="1" t="s">
        <v>61</v>
      </c>
      <c r="B1" s="1" t="s">
        <v>62</v>
      </c>
      <c r="C1" s="3" t="s">
        <v>63</v>
      </c>
      <c r="D1" s="1" t="s">
        <v>2</v>
      </c>
    </row>
    <row r="2" spans="1:4" x14ac:dyDescent="0.25">
      <c r="A2" t="s">
        <v>64</v>
      </c>
      <c r="B2" t="s">
        <v>65</v>
      </c>
      <c r="C2" s="2">
        <v>180000</v>
      </c>
      <c r="D2" t="s">
        <v>66</v>
      </c>
    </row>
    <row r="3" spans="1:4" x14ac:dyDescent="0.25">
      <c r="A3" t="s">
        <v>64</v>
      </c>
      <c r="B3" t="s">
        <v>67</v>
      </c>
      <c r="C3" s="2">
        <v>150000</v>
      </c>
      <c r="D3" t="s">
        <v>66</v>
      </c>
    </row>
    <row r="4" spans="1:4" x14ac:dyDescent="0.25">
      <c r="A4" t="s">
        <v>64</v>
      </c>
      <c r="B4" t="s">
        <v>68</v>
      </c>
      <c r="C4" s="2">
        <v>30000</v>
      </c>
      <c r="D4" t="s">
        <v>66</v>
      </c>
    </row>
    <row r="5" spans="1:4" x14ac:dyDescent="0.25">
      <c r="A5" t="s">
        <v>64</v>
      </c>
      <c r="B5" t="s">
        <v>69</v>
      </c>
      <c r="C5" s="2">
        <v>20000</v>
      </c>
      <c r="D5" t="s">
        <v>70</v>
      </c>
    </row>
    <row r="6" spans="1:4" x14ac:dyDescent="0.25">
      <c r="A6" t="s">
        <v>71</v>
      </c>
      <c r="B6" t="s">
        <v>72</v>
      </c>
      <c r="C6" s="2">
        <v>36000</v>
      </c>
      <c r="D6" t="s">
        <v>73</v>
      </c>
    </row>
    <row r="7" spans="1:4" x14ac:dyDescent="0.25">
      <c r="A7" t="s">
        <v>71</v>
      </c>
      <c r="B7" t="s">
        <v>74</v>
      </c>
      <c r="C7" s="2">
        <v>12000</v>
      </c>
      <c r="D7" t="s">
        <v>75</v>
      </c>
    </row>
    <row r="8" spans="1:4" x14ac:dyDescent="0.25">
      <c r="A8" t="s">
        <v>76</v>
      </c>
      <c r="B8" t="s">
        <v>77</v>
      </c>
      <c r="C8" s="2">
        <v>90000</v>
      </c>
      <c r="D8" t="s">
        <v>78</v>
      </c>
    </row>
    <row r="9" spans="1:4" x14ac:dyDescent="0.25">
      <c r="A9" t="s">
        <v>76</v>
      </c>
      <c r="B9" t="s">
        <v>79</v>
      </c>
      <c r="C9" s="2">
        <v>18000</v>
      </c>
      <c r="D9" t="s">
        <v>80</v>
      </c>
    </row>
    <row r="10" spans="1:4" x14ac:dyDescent="0.25">
      <c r="A10" t="s">
        <v>81</v>
      </c>
      <c r="B10" t="s">
        <v>82</v>
      </c>
      <c r="C10" s="2">
        <v>12000</v>
      </c>
      <c r="D10" t="s">
        <v>83</v>
      </c>
    </row>
    <row r="11" spans="1:4" x14ac:dyDescent="0.25">
      <c r="A11" t="s">
        <v>84</v>
      </c>
      <c r="B11" t="s">
        <v>85</v>
      </c>
      <c r="C11" s="2">
        <v>48000</v>
      </c>
      <c r="D11" t="s">
        <v>86</v>
      </c>
    </row>
    <row r="12" spans="1:4" x14ac:dyDescent="0.25">
      <c r="A12" t="s">
        <v>87</v>
      </c>
      <c r="B12" t="s">
        <v>88</v>
      </c>
      <c r="C12" s="2">
        <v>15000</v>
      </c>
      <c r="D12" t="s">
        <v>89</v>
      </c>
    </row>
    <row r="13" spans="1:4" x14ac:dyDescent="0.25">
      <c r="A13" t="s">
        <v>87</v>
      </c>
      <c r="B13" t="s">
        <v>90</v>
      </c>
      <c r="C13" s="2">
        <v>12000</v>
      </c>
      <c r="D13" t="s">
        <v>91</v>
      </c>
    </row>
    <row r="14" spans="1:4" x14ac:dyDescent="0.25">
      <c r="A14" t="s">
        <v>92</v>
      </c>
      <c r="B14" t="s">
        <v>93</v>
      </c>
      <c r="C14" s="2">
        <v>10000</v>
      </c>
      <c r="D14" t="s">
        <v>94</v>
      </c>
    </row>
    <row r="15" spans="1:4" x14ac:dyDescent="0.25">
      <c r="A15" t="s">
        <v>95</v>
      </c>
      <c r="B15" t="s">
        <v>96</v>
      </c>
      <c r="C15" s="2">
        <v>25000</v>
      </c>
      <c r="D15" t="s">
        <v>97</v>
      </c>
    </row>
    <row r="16" spans="1:4" x14ac:dyDescent="0.25">
      <c r="B16" t="s">
        <v>98</v>
      </c>
      <c r="C16" s="2">
        <f>SUM(C2:C15)</f>
        <v>658000</v>
      </c>
      <c r="D16" t="s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/>
  </sheetViews>
  <sheetFormatPr defaultRowHeight="15" x14ac:dyDescent="0.25"/>
  <sheetData>
    <row r="1" spans="1:10" x14ac:dyDescent="0.25">
      <c r="A1" s="1" t="s">
        <v>37</v>
      </c>
      <c r="B1" s="1" t="s">
        <v>40</v>
      </c>
      <c r="C1" s="1" t="s">
        <v>41</v>
      </c>
      <c r="D1" s="1" t="s">
        <v>43</v>
      </c>
      <c r="E1" s="1" t="s">
        <v>44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25">
      <c r="A2" t="s">
        <v>51</v>
      </c>
      <c r="B2">
        <v>8000</v>
      </c>
      <c r="C2">
        <v>240</v>
      </c>
      <c r="D2">
        <v>128</v>
      </c>
      <c r="E2">
        <v>30720</v>
      </c>
      <c r="F2">
        <v>16800</v>
      </c>
      <c r="G2">
        <v>24576</v>
      </c>
      <c r="H2">
        <v>-1375224</v>
      </c>
      <c r="I2">
        <v>204.8</v>
      </c>
      <c r="J2">
        <v>2.93</v>
      </c>
    </row>
    <row r="3" spans="1:10" x14ac:dyDescent="0.25">
      <c r="A3" t="s">
        <v>52</v>
      </c>
      <c r="B3">
        <v>20000</v>
      </c>
      <c r="C3">
        <v>1000</v>
      </c>
      <c r="D3">
        <v>128</v>
      </c>
      <c r="E3">
        <v>128000</v>
      </c>
      <c r="F3">
        <v>70000</v>
      </c>
      <c r="G3">
        <v>102400</v>
      </c>
      <c r="H3">
        <v>-1350600</v>
      </c>
      <c r="I3">
        <v>204.8</v>
      </c>
      <c r="J3">
        <v>2.93</v>
      </c>
    </row>
    <row r="4" spans="1:10" x14ac:dyDescent="0.25">
      <c r="A4" t="s">
        <v>53</v>
      </c>
      <c r="B4">
        <v>40000</v>
      </c>
      <c r="C4">
        <v>3200</v>
      </c>
      <c r="D4">
        <v>128</v>
      </c>
      <c r="E4">
        <v>409600</v>
      </c>
      <c r="F4">
        <v>224000</v>
      </c>
      <c r="G4">
        <v>327680</v>
      </c>
      <c r="H4">
        <v>-1279320</v>
      </c>
      <c r="I4">
        <v>204.8</v>
      </c>
      <c r="J4">
        <v>2.93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tabSelected="1" workbookViewId="0">
      <selection activeCell="F1" sqref="A1:F1048576"/>
    </sheetView>
  </sheetViews>
  <sheetFormatPr defaultRowHeight="15" x14ac:dyDescent="0.25"/>
  <cols>
    <col min="1" max="1" width="14.140625" style="2" bestFit="1" customWidth="1"/>
    <col min="2" max="2" width="6.42578125" style="2" bestFit="1" customWidth="1"/>
    <col min="3" max="3" width="13.42578125" style="2" bestFit="1" customWidth="1"/>
    <col min="4" max="6" width="13.28515625" style="2" bestFit="1" customWidth="1"/>
  </cols>
  <sheetData>
    <row r="1" spans="1:6" x14ac:dyDescent="0.25">
      <c r="A1" s="3" t="s">
        <v>37</v>
      </c>
      <c r="B1" s="3" t="s">
        <v>100</v>
      </c>
      <c r="C1" s="3" t="s">
        <v>41</v>
      </c>
      <c r="D1" s="3" t="s">
        <v>44</v>
      </c>
      <c r="E1" s="3" t="s">
        <v>101</v>
      </c>
      <c r="F1" s="2" t="s">
        <v>48</v>
      </c>
    </row>
    <row r="2" spans="1:6" x14ac:dyDescent="0.25">
      <c r="A2" s="2" t="s">
        <v>51</v>
      </c>
      <c r="B2" s="2">
        <v>1</v>
      </c>
      <c r="C2" s="2">
        <v>240</v>
      </c>
      <c r="D2" s="2">
        <v>30720</v>
      </c>
      <c r="E2" s="2">
        <v>1383000</v>
      </c>
      <c r="F2" s="2">
        <v>-1375224</v>
      </c>
    </row>
    <row r="3" spans="1:6" x14ac:dyDescent="0.25">
      <c r="A3" s="2" t="s">
        <v>51</v>
      </c>
      <c r="B3" s="2">
        <v>2</v>
      </c>
      <c r="C3" s="2">
        <v>264</v>
      </c>
      <c r="D3" s="2">
        <v>33792</v>
      </c>
      <c r="E3" s="2">
        <v>960990</v>
      </c>
      <c r="F3" s="2">
        <v>-952436.4</v>
      </c>
    </row>
    <row r="4" spans="1:6" x14ac:dyDescent="0.25">
      <c r="A4" s="2" t="s">
        <v>51</v>
      </c>
      <c r="B4" s="2">
        <v>3</v>
      </c>
      <c r="C4" s="2">
        <v>290</v>
      </c>
      <c r="D4" s="2">
        <v>37120</v>
      </c>
      <c r="E4" s="2">
        <v>989819.7</v>
      </c>
      <c r="F4" s="2">
        <v>-980423.7</v>
      </c>
    </row>
    <row r="5" spans="1:6" x14ac:dyDescent="0.25">
      <c r="A5" s="2" t="s">
        <v>52</v>
      </c>
      <c r="B5" s="2">
        <v>1</v>
      </c>
      <c r="C5" s="2">
        <v>1000</v>
      </c>
      <c r="D5" s="2">
        <v>128000</v>
      </c>
      <c r="E5" s="2">
        <v>1383000</v>
      </c>
      <c r="F5" s="2">
        <v>-1350600</v>
      </c>
    </row>
    <row r="6" spans="1:6" x14ac:dyDescent="0.25">
      <c r="A6" s="2" t="s">
        <v>52</v>
      </c>
      <c r="B6" s="2">
        <v>2</v>
      </c>
      <c r="C6" s="2">
        <v>1300</v>
      </c>
      <c r="D6" s="2">
        <v>166400</v>
      </c>
      <c r="E6" s="2">
        <v>960990</v>
      </c>
      <c r="F6" s="2">
        <v>-918870</v>
      </c>
    </row>
    <row r="7" spans="1:6" x14ac:dyDescent="0.25">
      <c r="A7" s="2" t="s">
        <v>52</v>
      </c>
      <c r="B7" s="2">
        <v>3</v>
      </c>
      <c r="C7" s="2">
        <v>1690</v>
      </c>
      <c r="D7" s="2">
        <v>216320</v>
      </c>
      <c r="E7" s="2">
        <v>989819.7</v>
      </c>
      <c r="F7" s="2">
        <v>-935063.7</v>
      </c>
    </row>
    <row r="8" spans="1:6" x14ac:dyDescent="0.25">
      <c r="A8" s="2" t="s">
        <v>53</v>
      </c>
      <c r="B8" s="2">
        <v>1</v>
      </c>
      <c r="C8" s="2">
        <v>3200</v>
      </c>
      <c r="D8" s="2">
        <v>409600</v>
      </c>
      <c r="E8" s="2">
        <v>1383000</v>
      </c>
      <c r="F8" s="2">
        <v>-1279320</v>
      </c>
    </row>
    <row r="9" spans="1:6" x14ac:dyDescent="0.25">
      <c r="A9" s="2" t="s">
        <v>53</v>
      </c>
      <c r="B9" s="2">
        <v>2</v>
      </c>
      <c r="C9" s="2">
        <v>5120</v>
      </c>
      <c r="D9" s="2">
        <v>655360</v>
      </c>
      <c r="E9" s="2">
        <v>960990</v>
      </c>
      <c r="F9" s="2">
        <v>-795102</v>
      </c>
    </row>
    <row r="10" spans="1:6" x14ac:dyDescent="0.25">
      <c r="A10" s="2" t="s">
        <v>53</v>
      </c>
      <c r="B10" s="2">
        <v>3</v>
      </c>
      <c r="C10" s="2">
        <v>8192</v>
      </c>
      <c r="D10" s="2">
        <v>1048576</v>
      </c>
      <c r="E10" s="2">
        <v>989819.7</v>
      </c>
      <c r="F10" s="2">
        <v>-724398.9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Scenarios</vt:lpstr>
      <vt:lpstr>UnitEconomics</vt:lpstr>
      <vt:lpstr>Costs</vt:lpstr>
      <vt:lpstr>Scenarios_Numeric</vt:lpstr>
      <vt:lpstr>Projection_3yr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Naseem Ganji</cp:lastModifiedBy>
  <dcterms:created xsi:type="dcterms:W3CDTF">2025-11-17T09:04:52Z</dcterms:created>
  <dcterms:modified xsi:type="dcterms:W3CDTF">2025-11-17T09:12:13Z</dcterms:modified>
</cp:coreProperties>
</file>